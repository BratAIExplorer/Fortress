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Plan" sheetId="1" state="visible" r:id="rId3"/>
    <sheet name="Redeploy Plan" sheetId="2" state="visible" r:id="rId4"/>
    <sheet name="Fund Researc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<sst xmlns="http://schemas.openxmlformats.org/spreadsheetml/2006/main" count="105" uniqueCount="97">
  <si>
    <t xml:space="preserve">Mutual Fund Consolidation — Action Plan (as of 13-Jul-2026)</t>
  </si>
  <si>
    <t xml:space="preserve">All amounts in INR. Values taken from your Axis Bank portfolio screenshot (13-Jul-2026).</t>
  </si>
  <si>
    <t xml:space="preserve">Fund (all Regular plans)</t>
  </si>
  <si>
    <t xml:space="preserve">Invested (Rs)</t>
  </si>
  <si>
    <t xml:space="preserve">Current (Rs)</t>
  </si>
  <si>
    <t xml:space="preserve">Gain (Rs)</t>
  </si>
  <si>
    <t xml:space="preserve">Return %</t>
  </si>
  <si>
    <t xml:space="preserve">Verdict</t>
  </si>
  <si>
    <t xml:space="preserve">Action</t>
  </si>
  <si>
    <t xml:space="preserve">Nippon India Large Cap Fund</t>
  </si>
  <si>
    <t xml:space="preserve">KEEP SIP</t>
  </si>
  <si>
    <t xml:space="preserve">Continue SIP; move future SIP to Direct plan. #1 ranked large-cap fund.</t>
  </si>
  <si>
    <t xml:space="preserve">Motilal Oswal Nifty India Defence Index</t>
  </si>
  <si>
    <t xml:space="preserve">TRIM 50%</t>
  </si>
  <si>
    <t xml:space="preserve">Stop new money. Redeem ~half (Rs ~24,880) to lock gains; sector PE ~57 vs market ~25.</t>
  </si>
  <si>
    <t xml:space="preserve">HDFC Multi Cap Fund</t>
  </si>
  <si>
    <t xml:space="preserve">EXIT</t>
  </si>
  <si>
    <t xml:space="preserve">Redeem fully. Mediocre + overlaps other holdings.</t>
  </si>
  <si>
    <t xml:space="preserve">HDFC Balanced Advantage Fund</t>
  </si>
  <si>
    <t xml:space="preserve">HOLD</t>
  </si>
  <si>
    <t xml:space="preserve">Keep as stability cushion. Stop SIP; redirect to target funds.</t>
  </si>
  <si>
    <t xml:space="preserve">HDFC Large and Mid Cap Fund</t>
  </si>
  <si>
    <t xml:space="preserve">Keep. Solid 3Y ~16.6% CAGR.</t>
  </si>
  <si>
    <t xml:space="preserve">Axis Momentum Fund</t>
  </si>
  <si>
    <t xml:space="preserve">Redeem fully. Negative alpha, -12% CAGR since Dec-2024 launch.</t>
  </si>
  <si>
    <t xml:space="preserve">ICICI Prudential Quality Fund</t>
  </si>
  <si>
    <t xml:space="preserve">Redeem fully. May-2025 NFO, only 3.4% since launch; unneeded factor bet.</t>
  </si>
  <si>
    <t xml:space="preserve">TOTAL</t>
  </si>
  <si>
    <t xml:space="preserve">Cash freed by exits + defence trim (feeds 'Redeploy Plan' sheet):</t>
  </si>
  <si>
    <t xml:space="preserve">Legend: BLUE = numbers from your screenshot (edit if they change). YELLOW = key figures / cells you can edit.</t>
  </si>
  <si>
    <t xml:space="preserve">Check exit load (~1% if held &lt;1 yr) and capital gains tax before redeeming. NRI: confirm TDS + Malaysia tax treatment.</t>
  </si>
  <si>
    <t xml:space="preserve">This is research, not financial advice.</t>
  </si>
  <si>
    <t xml:space="preserve">Target Portfolio &amp; Redeployment</t>
  </si>
  <si>
    <t xml:space="preserve">Deploy freed cash via 6-8 week STP/weekly SIP, not lump sum. All new money in DIRECT plans.</t>
  </si>
  <si>
    <t xml:space="preserve">Cash to redeploy (from Action Plan)</t>
  </si>
  <si>
    <t xml:space="preserve">Your monthly SIP budget (EDIT THIS)</t>
  </si>
  <si>
    <t xml:space="preserve">&lt;- Example value; replace with your actual total monthly SIP</t>
  </si>
  <si>
    <t xml:space="preserve">Target fund (Direct plan)</t>
  </si>
  <si>
    <t xml:space="preserve">Role</t>
  </si>
  <si>
    <t xml:space="preserve">Alloc %</t>
  </si>
  <si>
    <t xml:space="preserve">One-time redeploy (Rs)</t>
  </si>
  <si>
    <t xml:space="preserve">Monthly SIP (Rs)</t>
  </si>
  <si>
    <t xml:space="preserve">Nippon India Large Cap Fund - Direct</t>
  </si>
  <si>
    <t xml:space="preserve">Core large cap (existing, switch SIP to Direct)</t>
  </si>
  <si>
    <t xml:space="preserve">Parag Parikh Flexi Cap Fund - Direct</t>
  </si>
  <si>
    <t xml:space="preserve">Go-anywhere core, incl. US exposure (NEW)</t>
  </si>
  <si>
    <t xml:space="preserve">HDFC Large and Mid Cap Fund - Direct</t>
  </si>
  <si>
    <t xml:space="preserve">Large+mid growth (existing)</t>
  </si>
  <si>
    <t xml:space="preserve">HDFC Mid-Cap Opportunities Fund - Direct</t>
  </si>
  <si>
    <t xml:space="preserve">Mid-cap growth engine (NEW)</t>
  </si>
  <si>
    <t xml:space="preserve">Kept outside targets: HDFC Balanced Advantage (stability cushion) and remaining 50% of Defence Index (let it run with no new money).</t>
  </si>
  <si>
    <t xml:space="preserve">Allocation % cells are editable (yellow). Totals must equal 100%.</t>
  </si>
  <si>
    <t xml:space="preserve">Open Direct plans free via MFCentral, Zerodha Coin, or Groww - never through the bank branch (that's how you got Regular plans).</t>
  </si>
  <si>
    <t xml:space="preserve">Replacement Fund Deep-Dive (data as of Jul-2026, web research)</t>
  </si>
  <si>
    <t xml:space="preserve">Fund (Direct)</t>
  </si>
  <si>
    <t xml:space="preserve">Category</t>
  </si>
  <si>
    <t xml:space="preserve">1Y Return</t>
  </si>
  <si>
    <t xml:space="preserve">3Y CAGR</t>
  </si>
  <si>
    <t xml:space="preserve">5Y CAGR</t>
  </si>
  <si>
    <t xml:space="preserve">Expense Ratio</t>
  </si>
  <si>
    <t xml:space="preserve">AUM</t>
  </si>
  <si>
    <t xml:space="preserve">Why / Risk</t>
  </si>
  <si>
    <t xml:space="preserve">Source</t>
  </si>
  <si>
    <t xml:space="preserve">Parag Parikh Flexi Cap</t>
  </si>
  <si>
    <t xml:space="preserve">Flexi Cap</t>
  </si>
  <si>
    <t xml:space="preserve">-2.65%</t>
  </si>
  <si>
    <t xml:space="preserve">14.45%</t>
  </si>
  <si>
    <t xml:space="preserve">14.29%</t>
  </si>
  <si>
    <t xml:space="preserve">0.53%</t>
  </si>
  <si>
    <t xml:space="preserve">Rs 1.43L Cr</t>
  </si>
  <si>
    <t xml:space="preserve">Largest flexi-cap; value style + US stocks; weak 1Y = decent entry point. Risk: size may slow future alpha.</t>
  </si>
  <si>
    <t xml:space="preserve">valueresearchonline.com / groww.in</t>
  </si>
  <si>
    <t xml:space="preserve">HDFC Mid-Cap Opportunities</t>
  </si>
  <si>
    <t xml:space="preserve">Mid Cap</t>
  </si>
  <si>
    <t xml:space="preserve">+5.94%</t>
  </si>
  <si>
    <t xml:space="preserve">-</t>
  </si>
  <si>
    <t xml:space="preserve">~26% (5Y)</t>
  </si>
  <si>
    <t xml:space="preserve">~0.8%</t>
  </si>
  <si>
    <t xml:space="preserve">Rs 94,257 Cr</t>
  </si>
  <si>
    <t xml:space="preserve">Largest, most battle-tested mid-cap fund (since 2007); steadier than peers. Risk: mid-caps swing hard in corrections.</t>
  </si>
  <si>
    <t xml:space="preserve">businessupturn.com / groww.in</t>
  </si>
  <si>
    <t xml:space="preserve">Motilal Oswal Midcap (alt.)</t>
  </si>
  <si>
    <t xml:space="preserve">-8.17%</t>
  </si>
  <si>
    <t xml:space="preserve">~29% (5Y)</t>
  </si>
  <si>
    <t xml:space="preserve">~0.6%</t>
  </si>
  <si>
    <t xml:space="preserve">Higher 5Y CAGR but only 30 stocks - concentrated &amp; volatile. Aggressive alternative to HDFC Mid-Cap; pick ONE, not both.</t>
  </si>
  <si>
    <t xml:space="preserve">tickertape.in / valueresearchonline.com</t>
  </si>
  <si>
    <t xml:space="preserve">UTI Nifty 50 Index (option)</t>
  </si>
  <si>
    <t xml:space="preserve">Index/Passive</t>
  </si>
  <si>
    <t xml:space="preserve">-5.52%</t>
  </si>
  <si>
    <t xml:space="preserve">8.35%</t>
  </si>
  <si>
    <t xml:space="preserve">9.87%</t>
  </si>
  <si>
    <t xml:space="preserve">0.18%</t>
  </si>
  <si>
    <t xml:space="preserve">Rs 27,827 Cr</t>
  </si>
  <si>
    <t xml:space="preserve">Cheapest possible core if you prefer zero fund-manager risk. Trade-off: no chance of beating the market.</t>
  </si>
  <si>
    <t xml:space="preserve">Verdict: Parag Parikh Flexi Cap + HDFC Mid-Cap Opportunities are the two recommended additions. Motilal Midcap only if you accept higher volatility. UTI Nifty 50 if you want simplicity over alpha.</t>
  </si>
  <si>
    <t xml:space="preserve">Returns are point-in-time (Jul-2026) and will change. Past returns do not guarantee future results.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</si>
</sst>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66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77500</v>
      </c>
      <c r="C5" s="5" t="n">
        <v>84620</v>
      </c>
      <c r="D5" s="6" t="n">
        <f aca="false">C5-B5</f>
        <v>7120</v>
      </c>
      <c r="E5" s="7" t="n">
        <f aca="false">IF(B5=0,0,D5/B5)</f>
        <v>0.0918709677419355</v>
      </c>
      <c r="F5" s="8" t="s">
        <v>10</v>
      </c>
      <c r="G5" s="4" t="s">
        <v>11</v>
      </c>
    </row>
    <row r="6" customFormat="false" ht="15" hidden="false" customHeight="false" outlineLevel="0" collapsed="false">
      <c r="A6" s="4" t="s">
        <v>12</v>
      </c>
      <c r="B6" s="5" t="n">
        <v>36000</v>
      </c>
      <c r="C6" s="5" t="n">
        <v>49760</v>
      </c>
      <c r="D6" s="6" t="n">
        <f aca="false">C6-B6</f>
        <v>13760</v>
      </c>
      <c r="E6" s="7" t="n">
        <f aca="false">IF(B6=0,0,D6/B6)</f>
        <v>0.382222222222222</v>
      </c>
      <c r="F6" s="9" t="s">
        <v>13</v>
      </c>
      <c r="G6" s="4" t="s">
        <v>14</v>
      </c>
    </row>
    <row r="7" customFormat="false" ht="15" hidden="false" customHeight="false" outlineLevel="0" collapsed="false">
      <c r="A7" s="4" t="s">
        <v>15</v>
      </c>
      <c r="B7" s="5" t="n">
        <v>38590</v>
      </c>
      <c r="C7" s="5" t="n">
        <v>39390</v>
      </c>
      <c r="D7" s="6" t="n">
        <f aca="false">C7-B7</f>
        <v>800</v>
      </c>
      <c r="E7" s="7" t="n">
        <f aca="false">IF(B7=0,0,D7/B7)</f>
        <v>0.020730759264058</v>
      </c>
      <c r="F7" s="10" t="s">
        <v>16</v>
      </c>
      <c r="G7" s="4" t="s">
        <v>17</v>
      </c>
    </row>
    <row r="8" customFormat="false" ht="15" hidden="false" customHeight="false" outlineLevel="0" collapsed="false">
      <c r="A8" s="4" t="s">
        <v>18</v>
      </c>
      <c r="B8" s="5" t="n">
        <v>25000</v>
      </c>
      <c r="C8" s="5" t="n">
        <v>25190</v>
      </c>
      <c r="D8" s="6" t="n">
        <f aca="false">C8-B8</f>
        <v>190</v>
      </c>
      <c r="E8" s="7" t="n">
        <f aca="false">IF(B8=0,0,D8/B8)</f>
        <v>0.0076</v>
      </c>
      <c r="F8" s="9" t="s">
        <v>19</v>
      </c>
      <c r="G8" s="4" t="s">
        <v>20</v>
      </c>
    </row>
    <row r="9" customFormat="false" ht="15" hidden="false" customHeight="false" outlineLevel="0" collapsed="false">
      <c r="A9" s="4" t="s">
        <v>21</v>
      </c>
      <c r="B9" s="5" t="n">
        <v>16290</v>
      </c>
      <c r="C9" s="5" t="n">
        <v>19460</v>
      </c>
      <c r="D9" s="6" t="n">
        <f aca="false">C9-B9</f>
        <v>3170</v>
      </c>
      <c r="E9" s="7" t="n">
        <f aca="false">IF(B9=0,0,D9/B9)</f>
        <v>0.194597912829957</v>
      </c>
      <c r="F9" s="8" t="s">
        <v>19</v>
      </c>
      <c r="G9" s="4" t="s">
        <v>22</v>
      </c>
    </row>
    <row r="10" customFormat="false" ht="15" hidden="false" customHeight="false" outlineLevel="0" collapsed="false">
      <c r="A10" s="4" t="s">
        <v>23</v>
      </c>
      <c r="B10" s="5" t="n">
        <v>20000</v>
      </c>
      <c r="C10" s="5" t="n">
        <v>17640</v>
      </c>
      <c r="D10" s="6" t="n">
        <f aca="false">C10-B10</f>
        <v>-2360</v>
      </c>
      <c r="E10" s="7" t="n">
        <f aca="false">IF(B10=0,0,D10/B10)</f>
        <v>-0.118</v>
      </c>
      <c r="F10" s="10" t="s">
        <v>16</v>
      </c>
      <c r="G10" s="4" t="s">
        <v>24</v>
      </c>
    </row>
    <row r="11" customFormat="false" ht="15" hidden="false" customHeight="false" outlineLevel="0" collapsed="false">
      <c r="A11" s="4" t="s">
        <v>25</v>
      </c>
      <c r="B11" s="5" t="n">
        <v>8000</v>
      </c>
      <c r="C11" s="5" t="n">
        <v>8310</v>
      </c>
      <c r="D11" s="6" t="n">
        <f aca="false">C11-B11</f>
        <v>310</v>
      </c>
      <c r="E11" s="7" t="n">
        <f aca="false">IF(B11=0,0,D11/B11)</f>
        <v>0.03875</v>
      </c>
      <c r="F11" s="10" t="s">
        <v>16</v>
      </c>
      <c r="G11" s="4" t="s">
        <v>26</v>
      </c>
    </row>
    <row r="12" customFormat="false" ht="15" hidden="false" customHeight="false" outlineLevel="0" collapsed="false">
      <c r="A12" s="11" t="s">
        <v>27</v>
      </c>
      <c r="B12" s="12" t="n">
        <f aca="false">SUM(B5:B11)</f>
        <v>221380</v>
      </c>
      <c r="C12" s="12" t="n">
        <f aca="false">SUM(C5:C11)</f>
        <v>244370</v>
      </c>
      <c r="D12" s="12" t="n">
        <f aca="false">C12-B12</f>
        <v>22990</v>
      </c>
      <c r="E12" s="13" t="n">
        <f aca="false">D12/B12</f>
        <v>0.103848586141476</v>
      </c>
      <c r="F12" s="14"/>
      <c r="G12" s="14"/>
    </row>
    <row r="14" customFormat="false" ht="15" hidden="false" customHeight="false" outlineLevel="0" collapsed="false">
      <c r="A14" s="15" t="s">
        <v>28</v>
      </c>
      <c r="B14" s="16" t="n">
        <f aca="false">C7+C10+C11+0.5*C6</f>
        <v>90220</v>
      </c>
    </row>
    <row r="16" customFormat="false" ht="15" hidden="false" customHeight="false" outlineLevel="0" collapsed="false">
      <c r="A16" s="2" t="s">
        <v>29</v>
      </c>
    </row>
    <row r="17" customFormat="false" ht="15" hidden="false" customHeight="false" outlineLevel="0" collapsed="false">
      <c r="A17" s="2" t="s">
        <v>30</v>
      </c>
    </row>
    <row r="18" customFormat="false" ht="15" hidden="false" customHeight="false" outlineLevel="0" collapsed="false">
      <c r="A1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5" t="s">
        <v>34</v>
      </c>
      <c r="B4" s="17" t="n">
        <f aca="false">'Action Plan'!B14</f>
        <v>90220</v>
      </c>
    </row>
    <row r="5" customFormat="false" ht="15" hidden="false" customHeight="false" outlineLevel="0" collapsed="false">
      <c r="A5" s="15" t="s">
        <v>35</v>
      </c>
      <c r="B5" s="18" t="n">
        <v>10000</v>
      </c>
      <c r="C5" s="2" t="s">
        <v>36</v>
      </c>
    </row>
    <row r="7" customFormat="false" ht="15" hidden="false" customHeight="false" outlineLevel="0" collapsed="false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</row>
    <row r="8" customFormat="false" ht="15" hidden="false" customHeight="false" outlineLevel="0" collapsed="false">
      <c r="A8" s="4" t="s">
        <v>42</v>
      </c>
      <c r="B8" s="4" t="s">
        <v>43</v>
      </c>
      <c r="C8" s="19" t="n">
        <v>0.35</v>
      </c>
      <c r="D8" s="6" t="n">
        <f aca="false">$B$4*C8</f>
        <v>31577</v>
      </c>
      <c r="E8" s="6" t="n">
        <f aca="false">$B$5*C8</f>
        <v>3500</v>
      </c>
    </row>
    <row r="9" customFormat="false" ht="15" hidden="false" customHeight="false" outlineLevel="0" collapsed="false">
      <c r="A9" s="4" t="s">
        <v>44</v>
      </c>
      <c r="B9" s="4" t="s">
        <v>45</v>
      </c>
      <c r="C9" s="19" t="n">
        <v>0.25</v>
      </c>
      <c r="D9" s="6" t="n">
        <f aca="false">$B$4*C9</f>
        <v>22555</v>
      </c>
      <c r="E9" s="6" t="n">
        <f aca="false">$B$5*C9</f>
        <v>2500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19" t="n">
        <v>0.15</v>
      </c>
      <c r="D10" s="6" t="n">
        <f aca="false">$B$4*C10</f>
        <v>13533</v>
      </c>
      <c r="E10" s="6" t="n">
        <f aca="false">$B$5*C10</f>
        <v>1500</v>
      </c>
    </row>
    <row r="11" customFormat="false" ht="15" hidden="false" customHeight="false" outlineLevel="0" collapsed="false">
      <c r="A11" s="4" t="s">
        <v>48</v>
      </c>
      <c r="B11" s="4" t="s">
        <v>49</v>
      </c>
      <c r="C11" s="19" t="n">
        <v>0.25</v>
      </c>
      <c r="D11" s="6" t="n">
        <f aca="false">$B$4*C11</f>
        <v>22555</v>
      </c>
      <c r="E11" s="6" t="n">
        <f aca="false">$B$5*C11</f>
        <v>2500</v>
      </c>
    </row>
    <row r="12" customFormat="false" ht="15" hidden="false" customHeight="false" outlineLevel="0" collapsed="false">
      <c r="A12" s="11" t="s">
        <v>27</v>
      </c>
      <c r="B12" s="14"/>
      <c r="C12" s="13" t="n">
        <f aca="false">SUM(C8:C11)</f>
        <v>1</v>
      </c>
      <c r="D12" s="12" t="n">
        <f aca="false">SUM(D8:D11)</f>
        <v>90220</v>
      </c>
      <c r="E12" s="12" t="n">
        <f aca="false">SUM(E8:E11)</f>
        <v>10000</v>
      </c>
    </row>
    <row r="14" customFormat="false" ht="15" hidden="false" customHeight="false" outlineLevel="0" collapsed="false">
      <c r="A14" s="2" t="s">
        <v>50</v>
      </c>
    </row>
    <row r="15" customFormat="false" ht="15" hidden="false" customHeight="false" outlineLevel="0" collapsed="false">
      <c r="A15" s="2" t="s">
        <v>51</v>
      </c>
    </row>
    <row r="16" customFormat="false" ht="15" hidden="false" customHeight="false" outlineLevel="0" collapsed="false">
      <c r="A16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60"/>
    <col collapsed="false" customWidth="true" hidden="false" outlineLevel="0" max="9" min="9" style="0" width="35"/>
  </cols>
  <sheetData>
    <row r="1" customFormat="false" ht="16.15" hidden="false" customHeight="false" outlineLevel="0" collapsed="false">
      <c r="A1" s="1" t="s">
        <v>53</v>
      </c>
    </row>
    <row r="3" customFormat="false" ht="15" hidden="false" customHeight="fals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</row>
    <row r="4" customFormat="false" ht="23.85" hidden="false" customHeight="false" outlineLevel="0" collapsed="false">
      <c r="A4" s="20" t="s">
        <v>63</v>
      </c>
      <c r="B4" s="20" t="s">
        <v>64</v>
      </c>
      <c r="C4" s="20" t="s">
        <v>65</v>
      </c>
      <c r="D4" s="20" t="s">
        <v>66</v>
      </c>
      <c r="E4" s="20" t="s">
        <v>67</v>
      </c>
      <c r="F4" s="20" t="s">
        <v>68</v>
      </c>
      <c r="G4" s="20" t="s">
        <v>69</v>
      </c>
      <c r="H4" s="20" t="s">
        <v>70</v>
      </c>
      <c r="I4" s="20" t="s">
        <v>71</v>
      </c>
    </row>
    <row r="5" customFormat="false" ht="23.85" hidden="false" customHeight="false" outlineLevel="0" collapsed="false">
      <c r="A5" s="20" t="s">
        <v>72</v>
      </c>
      <c r="B5" s="20" t="s">
        <v>73</v>
      </c>
      <c r="C5" s="20" t="s">
        <v>74</v>
      </c>
      <c r="D5" s="20" t="s">
        <v>75</v>
      </c>
      <c r="E5" s="20" t="s">
        <v>76</v>
      </c>
      <c r="F5" s="20" t="s">
        <v>77</v>
      </c>
      <c r="G5" s="20" t="s">
        <v>78</v>
      </c>
      <c r="H5" s="20" t="s">
        <v>79</v>
      </c>
      <c r="I5" s="20" t="s">
        <v>80</v>
      </c>
    </row>
    <row r="6" customFormat="false" ht="23.85" hidden="false" customHeight="false" outlineLevel="0" collapsed="false">
      <c r="A6" s="20" t="s">
        <v>81</v>
      </c>
      <c r="B6" s="20" t="s">
        <v>73</v>
      </c>
      <c r="C6" s="20" t="s">
        <v>82</v>
      </c>
      <c r="D6" s="20" t="s">
        <v>75</v>
      </c>
      <c r="E6" s="20" t="s">
        <v>83</v>
      </c>
      <c r="F6" s="20" t="s">
        <v>84</v>
      </c>
      <c r="G6" s="20" t="s">
        <v>75</v>
      </c>
      <c r="H6" s="20" t="s">
        <v>85</v>
      </c>
      <c r="I6" s="20" t="s">
        <v>86</v>
      </c>
    </row>
    <row r="7" customFormat="false" ht="23.85" hidden="false" customHeight="false" outlineLevel="0" collapsed="false">
      <c r="A7" s="20" t="s">
        <v>87</v>
      </c>
      <c r="B7" s="20" t="s">
        <v>88</v>
      </c>
      <c r="C7" s="20" t="s">
        <v>89</v>
      </c>
      <c r="D7" s="20" t="s">
        <v>90</v>
      </c>
      <c r="E7" s="20" t="s">
        <v>91</v>
      </c>
      <c r="F7" s="20" t="s">
        <v>92</v>
      </c>
      <c r="G7" s="20" t="s">
        <v>93</v>
      </c>
      <c r="H7" s="20" t="s">
        <v>94</v>
      </c>
      <c r="I7" s="20" t="s">
        <v>71</v>
      </c>
    </row>
    <row r="9" customFormat="false" ht="15" hidden="false" customHeight="false" outlineLevel="0" collapsed="false">
      <c r="A9" s="15" t="s">
        <v>95</v>
      </c>
    </row>
    <row r="10" customFormat="false" ht="15" hidden="false" customHeight="false" outlineLevel="0" collapsed="false">
      <c r="A10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2026-07-13T09:32:27Z</dcterms:created>
  <dc:creator>openpyxl</dc:creator>
  <dc:description/>
  <dc:language>en-US</dc:language>
  <cp:lastModifiedBy/>
  <dcterms:modified xsi:type="dcterms:W3CDTF">2026-07-13T09:32:27Z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